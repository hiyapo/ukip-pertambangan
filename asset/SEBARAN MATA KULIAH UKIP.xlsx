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04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E90" i="1"/>
  <c r="E85"/>
  <c r="E39"/>
  <c r="E27"/>
  <c r="E77"/>
  <c r="E63" l="1"/>
  <c r="E52"/>
  <c r="E10"/>
</calcChain>
</file>

<file path=xl/sharedStrings.xml><?xml version="1.0" encoding="utf-8"?>
<sst xmlns="http://schemas.openxmlformats.org/spreadsheetml/2006/main" count="257" uniqueCount="173">
  <si>
    <t xml:space="preserve">Pendidikan Pancasila </t>
  </si>
  <si>
    <t xml:space="preserve">Bahasa Inggris </t>
  </si>
  <si>
    <t xml:space="preserve">Geologi Dasar </t>
  </si>
  <si>
    <t>3 (2-1)</t>
  </si>
  <si>
    <t>Dosen Pertambangan</t>
  </si>
  <si>
    <t xml:space="preserve">Kimia Dasar 1 </t>
  </si>
  <si>
    <t xml:space="preserve">3 (2-1) </t>
  </si>
  <si>
    <t xml:space="preserve">Fisika Dasar 1 </t>
  </si>
  <si>
    <t xml:space="preserve">Pengantar Sumber Daya Mineral dan Energi </t>
  </si>
  <si>
    <t>Konsep Teknologi  Pertambangan</t>
  </si>
  <si>
    <t xml:space="preserve">Kalkulus 1 </t>
  </si>
  <si>
    <r>
      <t>Sub total Smt I</t>
    </r>
    <r>
      <rPr>
        <sz val="13"/>
        <color rgb="FF000000"/>
        <rFont val="Arial"/>
        <family val="2"/>
      </rPr>
      <t xml:space="preserve"> </t>
    </r>
  </si>
  <si>
    <r>
      <t>20 (17-3)</t>
    </r>
    <r>
      <rPr>
        <sz val="13"/>
        <color rgb="FF000000"/>
        <rFont val="Arial"/>
        <family val="2"/>
      </rPr>
      <t xml:space="preserve"> </t>
    </r>
  </si>
  <si>
    <t xml:space="preserve">Pendidikan Kewarganegaraan </t>
  </si>
  <si>
    <t xml:space="preserve">Bahasa Indonesia </t>
  </si>
  <si>
    <t>Kimia Analitik</t>
  </si>
  <si>
    <t xml:space="preserve">Thermodinamika </t>
  </si>
  <si>
    <t xml:space="preserve">Kalkulus II </t>
  </si>
  <si>
    <t>Geomorfologi</t>
  </si>
  <si>
    <t xml:space="preserve">Pengantar Komputasi &amp;Sistem Informasi Geografis </t>
  </si>
  <si>
    <r>
      <t>Sub total Smt II</t>
    </r>
    <r>
      <rPr>
        <sz val="13"/>
        <color rgb="FF000000"/>
        <rFont val="Arial"/>
        <family val="2"/>
      </rPr>
      <t xml:space="preserve"> </t>
    </r>
  </si>
  <si>
    <t xml:space="preserve">Kristalografi </t>
  </si>
  <si>
    <t>Matriks dan Ruang Vektor</t>
  </si>
  <si>
    <t>Mekanika Fluida</t>
  </si>
  <si>
    <t xml:space="preserve">Mekanika Teknik </t>
  </si>
  <si>
    <t>Mineralogi</t>
  </si>
  <si>
    <t>Perpeteaan dan Ukur Tambang</t>
  </si>
  <si>
    <r>
      <t>Sub total Smt III</t>
    </r>
    <r>
      <rPr>
        <sz val="13"/>
        <color rgb="FF000000"/>
        <rFont val="Arial"/>
        <family val="2"/>
      </rPr>
      <t xml:space="preserve"> </t>
    </r>
  </si>
  <si>
    <t>Petrologi</t>
  </si>
  <si>
    <t>Geologi Struktur</t>
  </si>
  <si>
    <t xml:space="preserve">Mekanika Batuan </t>
  </si>
  <si>
    <t>Teknik Pemboran</t>
  </si>
  <si>
    <t>Sistem Penambangan</t>
  </si>
  <si>
    <r>
      <t>Sub total Smt IV</t>
    </r>
    <r>
      <rPr>
        <sz val="13"/>
        <color rgb="FF000000"/>
        <rFont val="Arial"/>
        <family val="2"/>
      </rPr>
      <t xml:space="preserve"> </t>
    </r>
  </si>
  <si>
    <t>Hidrogeologi</t>
  </si>
  <si>
    <t>Teknik Explorasi</t>
  </si>
  <si>
    <t>Rekayasa Pertambangan</t>
  </si>
  <si>
    <t xml:space="preserve">Geoteknik Tambang </t>
  </si>
  <si>
    <t>Teknik Peledakan</t>
  </si>
  <si>
    <t>Bahan Galian Industri</t>
  </si>
  <si>
    <t xml:space="preserve">Manajemen Tambang </t>
  </si>
  <si>
    <t>Dasar Hukum dan K3 Pertambangan</t>
  </si>
  <si>
    <r>
      <t>Sub total Smt V</t>
    </r>
    <r>
      <rPr>
        <sz val="13"/>
        <color rgb="FF000000"/>
        <rFont val="Arial"/>
        <family val="2"/>
      </rPr>
      <t xml:space="preserve"> </t>
    </r>
  </si>
  <si>
    <t>Pengolahan Bahan Galian Tambang</t>
  </si>
  <si>
    <t>Estimasi Sumberdaya dan Cadangan</t>
  </si>
  <si>
    <t>Ekonomi Bahan Galian</t>
  </si>
  <si>
    <t xml:space="preserve">Hidrologi Tambang </t>
  </si>
  <si>
    <t>Metodologi Penelitian</t>
  </si>
  <si>
    <t>Ekskursi</t>
  </si>
  <si>
    <t>Mata Kuliah Pilihan</t>
  </si>
  <si>
    <t xml:space="preserve">Analisis Dampak Lingkungan </t>
  </si>
  <si>
    <t>Sub total Smt VI</t>
  </si>
  <si>
    <t xml:space="preserve">Valuasi Tambang </t>
  </si>
  <si>
    <t>Perencanaan Tambang 1</t>
  </si>
  <si>
    <t>Perencanaan Tambang 2</t>
  </si>
  <si>
    <t>Reklamasi dan Pascatambang</t>
  </si>
  <si>
    <t>Kuliah Kerja Nyata</t>
  </si>
  <si>
    <t>Sub total Smt VII</t>
  </si>
  <si>
    <t xml:space="preserve">Tugas Akhir </t>
  </si>
  <si>
    <t>Sub total Smt VIII</t>
  </si>
  <si>
    <t>Mata kuliah Pilihan</t>
  </si>
  <si>
    <r>
      <t>Kode Mata Kuliah</t>
    </r>
    <r>
      <rPr>
        <sz val="13"/>
        <color rgb="FF000000"/>
        <rFont val="Arial"/>
        <family val="2"/>
      </rPr>
      <t xml:space="preserve"> </t>
    </r>
  </si>
  <si>
    <r>
      <t>Nama Mata Kuliah</t>
    </r>
    <r>
      <rPr>
        <sz val="13"/>
        <color rgb="FF000000"/>
        <rFont val="Arial"/>
        <family val="2"/>
      </rPr>
      <t xml:space="preserve"> </t>
    </r>
  </si>
  <si>
    <r>
      <t>Bobot SKS</t>
    </r>
    <r>
      <rPr>
        <sz val="14"/>
        <color rgb="FF000000"/>
        <rFont val="Arial"/>
        <family val="2"/>
      </rPr>
      <t xml:space="preserve"> </t>
    </r>
  </si>
  <si>
    <r>
      <t>Dosen Pengampu</t>
    </r>
    <r>
      <rPr>
        <sz val="14"/>
        <color rgb="FF000000"/>
        <rFont val="Arial"/>
        <family val="2"/>
      </rPr>
      <t xml:space="preserve"> </t>
    </r>
  </si>
  <si>
    <t>Metalurgi Umum</t>
  </si>
  <si>
    <t>Geowisata</t>
  </si>
  <si>
    <t>Nikel Laterit</t>
  </si>
  <si>
    <t xml:space="preserve">Manajemen Konflik </t>
  </si>
  <si>
    <t>Kartografi</t>
  </si>
  <si>
    <t xml:space="preserve">Eksplorasi Geokimia dan Analisis Bijih </t>
  </si>
  <si>
    <t>Olahraga</t>
  </si>
  <si>
    <t>Statistik Dasar</t>
  </si>
  <si>
    <t>TIM Universitas Kristen Indonesia Paulus</t>
  </si>
  <si>
    <t>Ganesa Bahan galian</t>
  </si>
  <si>
    <t>Kewirausahaan</t>
  </si>
  <si>
    <t>Teknologi 4.0 dalam Pertambangan</t>
  </si>
  <si>
    <t>Ganesa Explorasi Mineral Kristis dan Strategis</t>
  </si>
  <si>
    <r>
      <t>21 (19-2)</t>
    </r>
    <r>
      <rPr>
        <sz val="13"/>
        <color rgb="FF000000"/>
        <rFont val="Arial"/>
        <family val="2"/>
      </rPr>
      <t xml:space="preserve"> </t>
    </r>
  </si>
  <si>
    <t>Spritulitas</t>
  </si>
  <si>
    <t xml:space="preserve">Tim Universitas Kristen Indonesia Paulus </t>
  </si>
  <si>
    <t>3(2-1)</t>
  </si>
  <si>
    <t>19 (17-2)</t>
  </si>
  <si>
    <r>
      <t>17 (14-3)</t>
    </r>
    <r>
      <rPr>
        <sz val="13"/>
        <color rgb="FF000000"/>
        <rFont val="Arial"/>
        <family val="2"/>
      </rPr>
      <t xml:space="preserve"> </t>
    </r>
  </si>
  <si>
    <t>Ekskursi Pertambangan 1</t>
  </si>
  <si>
    <t xml:space="preserve">Peralatan Tambang </t>
  </si>
  <si>
    <r>
      <t>21 (18-3)</t>
    </r>
    <r>
      <rPr>
        <sz val="13"/>
        <color rgb="FF000000"/>
        <rFont val="Arial"/>
        <family val="2"/>
      </rPr>
      <t xml:space="preserve"> </t>
    </r>
  </si>
  <si>
    <t xml:space="preserve">4 (2-2) </t>
  </si>
  <si>
    <t>Komputasi Lanjutan</t>
  </si>
  <si>
    <t>14MKWU12</t>
  </si>
  <si>
    <t>BS103TP3</t>
  </si>
  <si>
    <t>12MKWPK2</t>
  </si>
  <si>
    <t>13MKWB12</t>
  </si>
  <si>
    <t>ES101TP2</t>
  </si>
  <si>
    <t>ES102TP2</t>
  </si>
  <si>
    <t>ES104TP3</t>
  </si>
  <si>
    <t>BS112TP2</t>
  </si>
  <si>
    <t>ES119TP3</t>
  </si>
  <si>
    <t>CD101TP2</t>
  </si>
  <si>
    <t>CD102TP4</t>
  </si>
  <si>
    <t>CD103TP4</t>
  </si>
  <si>
    <t>GE105TP4</t>
  </si>
  <si>
    <t>MP101TP2</t>
  </si>
  <si>
    <t>MP102TP2</t>
  </si>
  <si>
    <t>MP103TP2</t>
  </si>
  <si>
    <t>MP104TP2</t>
  </si>
  <si>
    <t>MP105TP2</t>
  </si>
  <si>
    <t>MP106TP2</t>
  </si>
  <si>
    <t>MP107TP2</t>
  </si>
  <si>
    <t>MP0000</t>
  </si>
  <si>
    <t>Batubara &amp; Flotasi</t>
  </si>
  <si>
    <r>
      <t>22 (19-1)</t>
    </r>
    <r>
      <rPr>
        <sz val="13"/>
        <color rgb="FF000000"/>
        <rFont val="Arial"/>
        <family val="2"/>
      </rPr>
      <t xml:space="preserve"> </t>
    </r>
  </si>
  <si>
    <t>10MKWAP2</t>
  </si>
  <si>
    <t>GE202TP1</t>
  </si>
  <si>
    <t>BS209TP2</t>
  </si>
  <si>
    <t>ES203TP2</t>
  </si>
  <si>
    <t>GE203TP2</t>
  </si>
  <si>
    <t>ES211TP2</t>
  </si>
  <si>
    <t>GE206TP4</t>
  </si>
  <si>
    <t>GE207TP6</t>
  </si>
  <si>
    <t>BS101TP3</t>
  </si>
  <si>
    <t>BS102TP3</t>
  </si>
  <si>
    <t>BS104TP2</t>
  </si>
  <si>
    <t>BS205TP3</t>
  </si>
  <si>
    <t>BS206TP3</t>
  </si>
  <si>
    <t>BS207TP2</t>
  </si>
  <si>
    <t>BS208TP2</t>
  </si>
  <si>
    <t>BS110TP3</t>
  </si>
  <si>
    <t>BS111TP2</t>
  </si>
  <si>
    <t>BS113TP2</t>
  </si>
  <si>
    <t>BS114TP2</t>
  </si>
  <si>
    <t>BS115TP3</t>
  </si>
  <si>
    <t>BS216TP2</t>
  </si>
  <si>
    <t>BS217TP3</t>
  </si>
  <si>
    <t>ES105TP1</t>
  </si>
  <si>
    <t>ES206TP2</t>
  </si>
  <si>
    <t>ES207TP3</t>
  </si>
  <si>
    <t>ES208TP3</t>
  </si>
  <si>
    <t>ES209TP2</t>
  </si>
  <si>
    <t>ES210TP2</t>
  </si>
  <si>
    <t>ES112TP3</t>
  </si>
  <si>
    <t>ES113TP3</t>
  </si>
  <si>
    <t>ES114TP2</t>
  </si>
  <si>
    <t>ES115TP2</t>
  </si>
  <si>
    <t>ES116TP3</t>
  </si>
  <si>
    <t>ES117TP2</t>
  </si>
  <si>
    <t>ES118TP2</t>
  </si>
  <si>
    <t>ES220TP3</t>
  </si>
  <si>
    <t>ES221TP3</t>
  </si>
  <si>
    <t>ES223TP2</t>
  </si>
  <si>
    <t>ES225TP2</t>
  </si>
  <si>
    <t>ES224TP2</t>
  </si>
  <si>
    <t>ES226TP2</t>
  </si>
  <si>
    <t>Bahasa Mandarin</t>
  </si>
  <si>
    <t>Kuliah Praktek /Magang</t>
  </si>
  <si>
    <t>11MKWKP2</t>
  </si>
  <si>
    <t>Agama Kristen</t>
  </si>
  <si>
    <t xml:space="preserve">Agama Katolik </t>
  </si>
  <si>
    <t>10MKWAK2</t>
  </si>
  <si>
    <t>Agama Islam</t>
  </si>
  <si>
    <t>Agama Hindu</t>
  </si>
  <si>
    <t>Agama Budha</t>
  </si>
  <si>
    <t>Agama Konghucu</t>
  </si>
  <si>
    <t>10MKWAI2</t>
  </si>
  <si>
    <t>10MKWAH2</t>
  </si>
  <si>
    <t>10MKWAB2</t>
  </si>
  <si>
    <t>10MKWAC2</t>
  </si>
  <si>
    <t>15MKWBM2</t>
  </si>
  <si>
    <t>16MKWUS2</t>
  </si>
  <si>
    <t>ES222TP2</t>
  </si>
  <si>
    <t>ES227TP3</t>
  </si>
  <si>
    <t>ES128TP2</t>
  </si>
  <si>
    <r>
      <t>18 (16 - 2)</t>
    </r>
    <r>
      <rPr>
        <sz val="13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</si>
</sst>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000000"/>
      <name val="Arial"/>
      <family val="2"/>
    </font>
    <font>
      <sz val="12"/>
      <color rgb="FF000000"/>
      <name val="Arial"/>
      <family val="2"/>
    </font>
    <font>
      <b/>
      <sz val="13"/>
      <color rgb="FF000000"/>
      <name val="Arial"/>
      <family val="2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4"/>
      <color rgb="FF000000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2" fillId="0" borderId="6" xfId="0" applyFont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center" vertical="top" wrapText="1" readingOrder="1"/>
    </xf>
    <xf numFmtId="0" fontId="0" fillId="0" borderId="4" xfId="0" applyBorder="1"/>
    <xf numFmtId="0" fontId="9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left" vertical="top" wrapText="1" indent="3"/>
    </xf>
    <xf numFmtId="0" fontId="11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 readingOrder="1"/>
    </xf>
    <xf numFmtId="0" fontId="3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top" wrapText="1" readingOrder="1"/>
    </xf>
    <xf numFmtId="0" fontId="0" fillId="0" borderId="10" xfId="0" applyBorder="1"/>
    <xf numFmtId="0" fontId="2" fillId="2" borderId="4" xfId="0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 readingOrder="1"/>
    </xf>
    <xf numFmtId="0" fontId="5" fillId="0" borderId="0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6" fillId="0" borderId="0" xfId="0" applyFont="1" applyBorder="1" applyAlignment="1">
      <alignment horizontal="center" vertical="top" wrapText="1" readingOrder="1"/>
    </xf>
    <xf numFmtId="0" fontId="3" fillId="0" borderId="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 readingOrder="1"/>
    </xf>
    <xf numFmtId="0" fontId="4" fillId="0" borderId="3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>
      <selection activeCell="F90" sqref="F90"/>
    </sheetView>
  </sheetViews>
  <sheetFormatPr defaultRowHeight="14.25"/>
  <cols>
    <col min="2" max="2" width="22" customWidth="1"/>
    <col min="3" max="3" width="45.125" customWidth="1"/>
    <col min="4" max="5" width="15.25" customWidth="1"/>
    <col min="6" max="7" width="49.25" customWidth="1"/>
  </cols>
  <sheetData>
    <row r="1" spans="1:7" ht="15" thickBot="1"/>
    <row r="2" spans="1:7" ht="20.25" customHeight="1" thickBot="1">
      <c r="A2">
        <v>1</v>
      </c>
      <c r="B2" s="41" t="s">
        <v>155</v>
      </c>
      <c r="C2" s="2" t="s">
        <v>0</v>
      </c>
      <c r="D2" s="1">
        <v>2</v>
      </c>
      <c r="E2" s="1">
        <v>2</v>
      </c>
      <c r="F2" s="10" t="s">
        <v>73</v>
      </c>
      <c r="G2" s="3"/>
    </row>
    <row r="3" spans="1:7" ht="18" customHeight="1" thickBot="1">
      <c r="A3">
        <v>2</v>
      </c>
      <c r="B3" s="41" t="s">
        <v>89</v>
      </c>
      <c r="C3" s="2" t="s">
        <v>1</v>
      </c>
      <c r="D3" s="1">
        <v>2</v>
      </c>
      <c r="E3" s="1">
        <v>2</v>
      </c>
      <c r="F3" s="10" t="s">
        <v>73</v>
      </c>
      <c r="G3" s="3"/>
    </row>
    <row r="4" spans="1:7" ht="17.25" thickBot="1">
      <c r="A4">
        <v>3</v>
      </c>
      <c r="B4" s="41" t="s">
        <v>120</v>
      </c>
      <c r="C4" s="2" t="s">
        <v>2</v>
      </c>
      <c r="D4" s="4" t="s">
        <v>3</v>
      </c>
      <c r="E4" s="1">
        <v>3</v>
      </c>
      <c r="F4" s="5" t="s">
        <v>4</v>
      </c>
      <c r="G4" s="6"/>
    </row>
    <row r="5" spans="1:7" ht="27" customHeight="1" thickBot="1">
      <c r="A5">
        <v>4</v>
      </c>
      <c r="B5" s="41" t="s">
        <v>121</v>
      </c>
      <c r="C5" s="2" t="s">
        <v>5</v>
      </c>
      <c r="D5" s="4" t="s">
        <v>6</v>
      </c>
      <c r="E5" s="1">
        <v>3</v>
      </c>
      <c r="F5" s="5" t="s">
        <v>4</v>
      </c>
      <c r="G5" s="6"/>
    </row>
    <row r="6" spans="1:7" ht="22.5" customHeight="1" thickBot="1">
      <c r="A6">
        <v>5</v>
      </c>
      <c r="B6" s="41" t="s">
        <v>90</v>
      </c>
      <c r="C6" s="2" t="s">
        <v>7</v>
      </c>
      <c r="D6" s="4" t="s">
        <v>6</v>
      </c>
      <c r="E6" s="1">
        <v>3</v>
      </c>
      <c r="F6" s="5" t="s">
        <v>4</v>
      </c>
      <c r="G6" s="6"/>
    </row>
    <row r="7" spans="1:7" ht="21.75" customHeight="1" thickBot="1">
      <c r="A7">
        <v>6</v>
      </c>
      <c r="B7" s="41" t="s">
        <v>93</v>
      </c>
      <c r="C7" s="2" t="s">
        <v>8</v>
      </c>
      <c r="D7" s="1">
        <v>2</v>
      </c>
      <c r="E7" s="1">
        <v>2</v>
      </c>
      <c r="F7" s="5" t="s">
        <v>4</v>
      </c>
      <c r="G7" s="6"/>
    </row>
    <row r="8" spans="1:7" ht="24" customHeight="1" thickBot="1">
      <c r="A8">
        <v>7</v>
      </c>
      <c r="B8" s="41" t="s">
        <v>94</v>
      </c>
      <c r="C8" s="2" t="s">
        <v>9</v>
      </c>
      <c r="D8" s="1">
        <v>2</v>
      </c>
      <c r="E8" s="1">
        <v>2</v>
      </c>
      <c r="F8" s="5" t="s">
        <v>4</v>
      </c>
      <c r="G8" s="6"/>
    </row>
    <row r="9" spans="1:7" ht="17.25" thickBot="1">
      <c r="A9">
        <v>8</v>
      </c>
      <c r="B9" s="41" t="s">
        <v>122</v>
      </c>
      <c r="C9" s="2" t="s">
        <v>10</v>
      </c>
      <c r="D9" s="1">
        <v>2</v>
      </c>
      <c r="E9" s="1">
        <v>2</v>
      </c>
      <c r="F9" s="5" t="s">
        <v>4</v>
      </c>
      <c r="G9" s="6"/>
    </row>
    <row r="10" spans="1:7" ht="17.25" thickBot="1">
      <c r="B10" s="83" t="s">
        <v>11</v>
      </c>
      <c r="C10" s="84"/>
      <c r="D10" s="7" t="s">
        <v>12</v>
      </c>
      <c r="E10" s="7">
        <f>SUM(E2:E9)</f>
        <v>19</v>
      </c>
      <c r="F10" s="8"/>
      <c r="G10" s="9"/>
    </row>
    <row r="11" spans="1:7" ht="17.25" thickBot="1">
      <c r="B11" s="65"/>
      <c r="C11" s="65"/>
      <c r="D11" s="65"/>
      <c r="E11" s="65"/>
      <c r="F11" s="66"/>
      <c r="G11" s="9"/>
    </row>
    <row r="12" spans="1:7" ht="17.25" thickBot="1">
      <c r="A12">
        <v>1</v>
      </c>
      <c r="B12" s="41" t="s">
        <v>112</v>
      </c>
      <c r="C12" s="42" t="s">
        <v>156</v>
      </c>
      <c r="D12" s="76">
        <v>2</v>
      </c>
      <c r="E12" s="76">
        <v>2</v>
      </c>
      <c r="F12" s="73" t="s">
        <v>73</v>
      </c>
    </row>
    <row r="13" spans="1:7" ht="17.25" thickBot="1">
      <c r="B13" s="41" t="s">
        <v>158</v>
      </c>
      <c r="C13" s="42" t="s">
        <v>157</v>
      </c>
      <c r="D13" s="77"/>
      <c r="E13" s="77"/>
      <c r="F13" s="74"/>
    </row>
    <row r="14" spans="1:7" ht="17.25" thickBot="1">
      <c r="B14" s="41" t="s">
        <v>163</v>
      </c>
      <c r="C14" s="42" t="s">
        <v>159</v>
      </c>
      <c r="D14" s="77"/>
      <c r="E14" s="77"/>
      <c r="F14" s="74"/>
    </row>
    <row r="15" spans="1:7" ht="17.25" thickBot="1">
      <c r="B15" s="41" t="s">
        <v>164</v>
      </c>
      <c r="C15" s="42" t="s">
        <v>160</v>
      </c>
      <c r="D15" s="77"/>
      <c r="E15" s="77"/>
      <c r="F15" s="74"/>
    </row>
    <row r="16" spans="1:7" ht="17.25" thickBot="1">
      <c r="B16" s="41" t="s">
        <v>165</v>
      </c>
      <c r="C16" s="42" t="s">
        <v>161</v>
      </c>
      <c r="D16" s="77"/>
      <c r="E16" s="77"/>
      <c r="F16" s="74"/>
    </row>
    <row r="17" spans="1:7" ht="17.25" thickBot="1">
      <c r="B17" s="41" t="s">
        <v>166</v>
      </c>
      <c r="C17" s="42" t="s">
        <v>162</v>
      </c>
      <c r="D17" s="78"/>
      <c r="E17" s="78"/>
      <c r="F17" s="75"/>
    </row>
    <row r="18" spans="1:7" ht="17.25" thickBot="1">
      <c r="A18">
        <v>2</v>
      </c>
      <c r="B18" s="41" t="s">
        <v>113</v>
      </c>
      <c r="C18" s="42" t="s">
        <v>71</v>
      </c>
      <c r="D18" s="1">
        <v>1</v>
      </c>
      <c r="E18" s="1">
        <v>1</v>
      </c>
      <c r="F18" s="10" t="s">
        <v>73</v>
      </c>
      <c r="G18" s="11"/>
    </row>
    <row r="19" spans="1:7" ht="17.25" thickBot="1">
      <c r="A19">
        <v>3</v>
      </c>
      <c r="B19" s="41" t="s">
        <v>91</v>
      </c>
      <c r="C19" s="42" t="s">
        <v>13</v>
      </c>
      <c r="D19" s="1">
        <v>2</v>
      </c>
      <c r="E19" s="1">
        <v>2</v>
      </c>
      <c r="F19" s="10" t="s">
        <v>73</v>
      </c>
      <c r="G19" s="11"/>
    </row>
    <row r="20" spans="1:7" ht="17.25" thickBot="1">
      <c r="A20">
        <v>4</v>
      </c>
      <c r="B20" s="41" t="s">
        <v>92</v>
      </c>
      <c r="C20" s="42" t="s">
        <v>14</v>
      </c>
      <c r="D20" s="1">
        <v>2</v>
      </c>
      <c r="E20" s="1">
        <v>2</v>
      </c>
      <c r="F20" s="10" t="s">
        <v>73</v>
      </c>
      <c r="G20" s="11"/>
    </row>
    <row r="21" spans="1:7" ht="17.25" thickBot="1">
      <c r="A21">
        <v>5</v>
      </c>
      <c r="B21" s="41" t="s">
        <v>123</v>
      </c>
      <c r="C21" s="42" t="s">
        <v>15</v>
      </c>
      <c r="D21" s="4" t="s">
        <v>81</v>
      </c>
      <c r="E21" s="1">
        <v>3</v>
      </c>
      <c r="F21" s="12" t="s">
        <v>4</v>
      </c>
      <c r="G21" s="13"/>
    </row>
    <row r="22" spans="1:7" ht="17.25" thickBot="1">
      <c r="A22">
        <v>6</v>
      </c>
      <c r="B22" s="41" t="s">
        <v>124</v>
      </c>
      <c r="C22" s="42" t="s">
        <v>16</v>
      </c>
      <c r="D22" s="40">
        <v>2</v>
      </c>
      <c r="E22" s="1">
        <v>2</v>
      </c>
      <c r="F22" s="12" t="s">
        <v>4</v>
      </c>
      <c r="G22" s="13"/>
    </row>
    <row r="23" spans="1:7" ht="17.25" thickBot="1">
      <c r="A23">
        <v>7</v>
      </c>
      <c r="B23" s="41" t="s">
        <v>125</v>
      </c>
      <c r="C23" s="42" t="s">
        <v>17</v>
      </c>
      <c r="D23" s="1">
        <v>2</v>
      </c>
      <c r="E23" s="1">
        <v>2</v>
      </c>
      <c r="F23" s="12" t="s">
        <v>4</v>
      </c>
      <c r="G23" s="13"/>
    </row>
    <row r="24" spans="1:7" ht="17.25" thickBot="1">
      <c r="A24">
        <v>8</v>
      </c>
      <c r="B24" s="41" t="s">
        <v>126</v>
      </c>
      <c r="C24" s="42" t="s">
        <v>72</v>
      </c>
      <c r="D24" s="1">
        <v>2</v>
      </c>
      <c r="E24" s="1">
        <v>2</v>
      </c>
      <c r="F24" s="12" t="s">
        <v>4</v>
      </c>
      <c r="G24" s="13"/>
    </row>
    <row r="25" spans="1:7" ht="17.25" thickBot="1">
      <c r="A25">
        <v>9</v>
      </c>
      <c r="B25" s="41" t="s">
        <v>114</v>
      </c>
      <c r="C25" s="42" t="s">
        <v>18</v>
      </c>
      <c r="D25" s="1">
        <v>2</v>
      </c>
      <c r="E25" s="1">
        <v>2</v>
      </c>
      <c r="F25" s="12" t="s">
        <v>4</v>
      </c>
      <c r="G25" s="13"/>
    </row>
    <row r="26" spans="1:7" ht="33.75" thickBot="1">
      <c r="A26">
        <v>10</v>
      </c>
      <c r="B26" s="41" t="s">
        <v>115</v>
      </c>
      <c r="C26" s="42" t="s">
        <v>19</v>
      </c>
      <c r="D26" s="1">
        <v>2</v>
      </c>
      <c r="E26" s="1">
        <v>2</v>
      </c>
      <c r="F26" s="12" t="s">
        <v>4</v>
      </c>
      <c r="G26" s="13"/>
    </row>
    <row r="27" spans="1:7" ht="17.25" thickBot="1">
      <c r="B27" s="79" t="s">
        <v>20</v>
      </c>
      <c r="C27" s="80"/>
      <c r="D27" s="7" t="s">
        <v>82</v>
      </c>
      <c r="E27" s="7">
        <f>SUM(E12:E26)</f>
        <v>20</v>
      </c>
      <c r="F27" s="8"/>
      <c r="G27" s="9"/>
    </row>
    <row r="28" spans="1:7">
      <c r="B28" s="43"/>
      <c r="C28" s="43"/>
    </row>
    <row r="29" spans="1:7" ht="15" thickBot="1">
      <c r="B29" s="43"/>
      <c r="C29" s="43"/>
    </row>
    <row r="30" spans="1:7" ht="17.25" thickBot="1">
      <c r="A30">
        <v>3</v>
      </c>
      <c r="B30" s="41" t="s">
        <v>127</v>
      </c>
      <c r="C30" s="42" t="s">
        <v>21</v>
      </c>
      <c r="D30" s="4" t="s">
        <v>6</v>
      </c>
      <c r="E30" s="1">
        <v>3</v>
      </c>
      <c r="F30" s="5" t="s">
        <v>4</v>
      </c>
      <c r="G30" s="6"/>
    </row>
    <row r="31" spans="1:7" ht="17.25" thickBot="1">
      <c r="A31">
        <v>4</v>
      </c>
      <c r="B31" s="41" t="s">
        <v>128</v>
      </c>
      <c r="C31" s="42" t="s">
        <v>74</v>
      </c>
      <c r="D31" s="1">
        <v>2</v>
      </c>
      <c r="E31" s="1">
        <v>2</v>
      </c>
      <c r="F31" s="5" t="s">
        <v>4</v>
      </c>
      <c r="G31" s="6"/>
    </row>
    <row r="32" spans="1:7" ht="17.25" thickBot="1">
      <c r="A32">
        <v>5</v>
      </c>
      <c r="B32" s="41" t="s">
        <v>96</v>
      </c>
      <c r="C32" s="42" t="s">
        <v>22</v>
      </c>
      <c r="D32" s="1">
        <v>2</v>
      </c>
      <c r="E32" s="1">
        <v>2</v>
      </c>
      <c r="F32" s="5" t="s">
        <v>4</v>
      </c>
      <c r="G32" s="6"/>
    </row>
    <row r="33" spans="1:7" ht="17.25" thickBot="1">
      <c r="A33">
        <v>6</v>
      </c>
      <c r="B33" s="41" t="s">
        <v>129</v>
      </c>
      <c r="C33" s="42" t="s">
        <v>23</v>
      </c>
      <c r="D33" s="1">
        <v>2</v>
      </c>
      <c r="E33" s="1">
        <v>2</v>
      </c>
      <c r="F33" s="5" t="s">
        <v>4</v>
      </c>
      <c r="G33" s="6"/>
    </row>
    <row r="34" spans="1:7" ht="17.25" thickBot="1">
      <c r="A34">
        <v>7</v>
      </c>
      <c r="B34" s="41" t="s">
        <v>130</v>
      </c>
      <c r="C34" s="42" t="s">
        <v>24</v>
      </c>
      <c r="D34" s="1">
        <v>2</v>
      </c>
      <c r="E34" s="1">
        <v>2</v>
      </c>
      <c r="F34" s="5" t="s">
        <v>4</v>
      </c>
      <c r="G34" s="6"/>
    </row>
    <row r="35" spans="1:7" ht="17.25" thickBot="1">
      <c r="A35">
        <v>8</v>
      </c>
      <c r="B35" s="41" t="s">
        <v>131</v>
      </c>
      <c r="C35" s="42" t="s">
        <v>25</v>
      </c>
      <c r="D35" s="4" t="s">
        <v>6</v>
      </c>
      <c r="E35" s="1">
        <v>3</v>
      </c>
      <c r="F35" s="5" t="s">
        <v>4</v>
      </c>
      <c r="G35" s="6"/>
    </row>
    <row r="36" spans="1:7" ht="17.25" thickBot="1">
      <c r="A36">
        <v>9</v>
      </c>
      <c r="B36" s="41" t="s">
        <v>95</v>
      </c>
      <c r="C36" s="42" t="s">
        <v>26</v>
      </c>
      <c r="D36" s="4" t="s">
        <v>6</v>
      </c>
      <c r="E36" s="1">
        <v>3</v>
      </c>
      <c r="F36" s="5" t="s">
        <v>4</v>
      </c>
      <c r="G36" s="6"/>
    </row>
    <row r="37" spans="1:7" ht="17.25" thickBot="1">
      <c r="B37" s="44" t="s">
        <v>134</v>
      </c>
      <c r="C37" s="45" t="s">
        <v>84</v>
      </c>
      <c r="D37" s="1">
        <v>1</v>
      </c>
      <c r="E37" s="1">
        <v>1</v>
      </c>
      <c r="F37" s="5" t="s">
        <v>4</v>
      </c>
      <c r="G37" s="6"/>
    </row>
    <row r="38" spans="1:7" ht="17.25" thickBot="1">
      <c r="B38" s="44" t="s">
        <v>167</v>
      </c>
      <c r="C38" s="45" t="s">
        <v>153</v>
      </c>
      <c r="D38" s="1">
        <v>2</v>
      </c>
      <c r="E38" s="1">
        <v>2</v>
      </c>
      <c r="F38" s="2" t="s">
        <v>73</v>
      </c>
      <c r="G38" s="6"/>
    </row>
    <row r="39" spans="1:7" ht="17.25" thickBot="1">
      <c r="B39" s="79" t="s">
        <v>27</v>
      </c>
      <c r="C39" s="80"/>
      <c r="D39" s="7" t="s">
        <v>83</v>
      </c>
      <c r="E39" s="7">
        <f>SUM(E30:E38)</f>
        <v>20</v>
      </c>
      <c r="F39" s="8"/>
      <c r="G39" s="9"/>
    </row>
    <row r="40" spans="1:7">
      <c r="B40" s="43"/>
      <c r="C40" s="43"/>
    </row>
    <row r="41" spans="1:7">
      <c r="B41" s="43"/>
      <c r="C41" s="43"/>
    </row>
    <row r="42" spans="1:7" ht="15" thickBot="1">
      <c r="B42" s="43"/>
      <c r="C42" s="43"/>
    </row>
    <row r="43" spans="1:7" ht="17.25" thickBot="1">
      <c r="A43">
        <v>2</v>
      </c>
      <c r="B43" s="41" t="s">
        <v>116</v>
      </c>
      <c r="C43" s="42" t="s">
        <v>75</v>
      </c>
      <c r="D43" s="1">
        <v>2</v>
      </c>
      <c r="E43" s="1">
        <v>2</v>
      </c>
      <c r="F43" s="2" t="s">
        <v>73</v>
      </c>
      <c r="G43" s="3"/>
    </row>
    <row r="44" spans="1:7" ht="17.25" thickBot="1">
      <c r="A44">
        <v>3</v>
      </c>
      <c r="B44" s="41" t="s">
        <v>132</v>
      </c>
      <c r="C44" s="42" t="s">
        <v>28</v>
      </c>
      <c r="D44" s="4" t="s">
        <v>81</v>
      </c>
      <c r="E44" s="1">
        <v>2</v>
      </c>
      <c r="F44" s="5" t="s">
        <v>4</v>
      </c>
      <c r="G44" s="6"/>
    </row>
    <row r="45" spans="1:7" ht="17.25" thickBot="1">
      <c r="A45">
        <v>4</v>
      </c>
      <c r="B45" s="41" t="s">
        <v>133</v>
      </c>
      <c r="C45" s="42" t="s">
        <v>29</v>
      </c>
      <c r="D45" s="4" t="s">
        <v>6</v>
      </c>
      <c r="E45" s="1">
        <v>3</v>
      </c>
      <c r="F45" s="5" t="s">
        <v>4</v>
      </c>
      <c r="G45" s="6"/>
    </row>
    <row r="46" spans="1:7" ht="17.25" thickBot="1">
      <c r="A46">
        <v>5</v>
      </c>
      <c r="B46" s="41" t="s">
        <v>135</v>
      </c>
      <c r="C46" s="42" t="s">
        <v>76</v>
      </c>
      <c r="D46" s="1">
        <v>2</v>
      </c>
      <c r="E46" s="1">
        <v>2</v>
      </c>
      <c r="F46" s="5" t="s">
        <v>4</v>
      </c>
      <c r="G46" s="6"/>
    </row>
    <row r="47" spans="1:7" ht="17.25" thickBot="1">
      <c r="A47">
        <v>6</v>
      </c>
      <c r="B47" s="41" t="s">
        <v>136</v>
      </c>
      <c r="C47" s="42" t="s">
        <v>30</v>
      </c>
      <c r="D47" s="4" t="s">
        <v>6</v>
      </c>
      <c r="E47" s="1">
        <v>3</v>
      </c>
      <c r="F47" s="5" t="s">
        <v>4</v>
      </c>
      <c r="G47" s="6"/>
    </row>
    <row r="48" spans="1:7" ht="17.25" thickBot="1">
      <c r="A48">
        <v>7</v>
      </c>
      <c r="B48" s="41" t="s">
        <v>137</v>
      </c>
      <c r="C48" s="42" t="s">
        <v>31</v>
      </c>
      <c r="D48" s="4" t="s">
        <v>6</v>
      </c>
      <c r="E48" s="14">
        <v>3</v>
      </c>
      <c r="F48" s="5" t="s">
        <v>4</v>
      </c>
      <c r="G48" s="6"/>
    </row>
    <row r="49" spans="1:7" ht="17.25" thickBot="1">
      <c r="A49">
        <v>8</v>
      </c>
      <c r="B49" s="41" t="s">
        <v>138</v>
      </c>
      <c r="C49" s="42" t="s">
        <v>32</v>
      </c>
      <c r="D49" s="1">
        <v>2</v>
      </c>
      <c r="E49" s="1">
        <v>2</v>
      </c>
      <c r="F49" s="5" t="s">
        <v>4</v>
      </c>
      <c r="G49" s="6"/>
    </row>
    <row r="50" spans="1:7" ht="17.25" thickBot="1">
      <c r="B50" s="41" t="s">
        <v>139</v>
      </c>
      <c r="C50" s="42" t="s">
        <v>85</v>
      </c>
      <c r="D50" s="1">
        <v>2</v>
      </c>
      <c r="E50" s="1">
        <v>2</v>
      </c>
      <c r="F50" s="5" t="s">
        <v>4</v>
      </c>
      <c r="G50" s="6"/>
    </row>
    <row r="51" spans="1:7" ht="17.25" thickBot="1">
      <c r="A51">
        <v>9</v>
      </c>
      <c r="B51" s="41" t="s">
        <v>117</v>
      </c>
      <c r="C51" s="42" t="s">
        <v>77</v>
      </c>
      <c r="D51" s="1">
        <v>2</v>
      </c>
      <c r="E51" s="1">
        <v>2</v>
      </c>
      <c r="F51" s="5" t="s">
        <v>4</v>
      </c>
      <c r="G51" s="6"/>
    </row>
    <row r="52" spans="1:7" ht="17.25" thickBot="1">
      <c r="B52" s="79" t="s">
        <v>33</v>
      </c>
      <c r="C52" s="80"/>
      <c r="D52" s="7" t="s">
        <v>86</v>
      </c>
      <c r="E52" s="7">
        <f>SUM(E43:E51)</f>
        <v>21</v>
      </c>
      <c r="F52" s="15"/>
      <c r="G52" s="16"/>
    </row>
    <row r="53" spans="1:7">
      <c r="B53" s="43"/>
      <c r="C53" s="43"/>
    </row>
    <row r="54" spans="1:7" ht="15" thickBot="1">
      <c r="B54" s="43"/>
      <c r="C54" s="43"/>
    </row>
    <row r="55" spans="1:7" ht="17.25" thickBot="1">
      <c r="A55">
        <v>2</v>
      </c>
      <c r="B55" s="41" t="s">
        <v>140</v>
      </c>
      <c r="C55" s="42" t="s">
        <v>34</v>
      </c>
      <c r="D55" s="4" t="s">
        <v>6</v>
      </c>
      <c r="E55" s="1">
        <v>3</v>
      </c>
      <c r="F55" s="5" t="s">
        <v>4</v>
      </c>
      <c r="G55" s="6"/>
    </row>
    <row r="56" spans="1:7" ht="17.25" thickBot="1">
      <c r="A56">
        <v>3</v>
      </c>
      <c r="B56" s="41" t="s">
        <v>141</v>
      </c>
      <c r="C56" s="42" t="s">
        <v>35</v>
      </c>
      <c r="D56" s="4" t="s">
        <v>6</v>
      </c>
      <c r="E56" s="1">
        <v>3</v>
      </c>
      <c r="F56" s="5" t="s">
        <v>4</v>
      </c>
      <c r="G56" s="6"/>
    </row>
    <row r="57" spans="1:7" ht="17.25" thickBot="1">
      <c r="A57">
        <v>4</v>
      </c>
      <c r="B57" s="41" t="s">
        <v>142</v>
      </c>
      <c r="C57" s="42" t="s">
        <v>36</v>
      </c>
      <c r="D57" s="1">
        <v>2</v>
      </c>
      <c r="E57" s="1">
        <v>2</v>
      </c>
      <c r="F57" s="5" t="s">
        <v>4</v>
      </c>
      <c r="G57" s="6"/>
    </row>
    <row r="58" spans="1:7" ht="17.25" thickBot="1">
      <c r="A58">
        <v>5</v>
      </c>
      <c r="B58" s="41" t="s">
        <v>143</v>
      </c>
      <c r="C58" s="42" t="s">
        <v>37</v>
      </c>
      <c r="D58" s="4" t="s">
        <v>81</v>
      </c>
      <c r="E58" s="1">
        <v>2</v>
      </c>
      <c r="F58" s="5" t="s">
        <v>4</v>
      </c>
      <c r="G58" s="6"/>
    </row>
    <row r="59" spans="1:7" ht="17.25" thickBot="1">
      <c r="A59">
        <v>6</v>
      </c>
      <c r="B59" s="41" t="s">
        <v>144</v>
      </c>
      <c r="C59" s="42" t="s">
        <v>38</v>
      </c>
      <c r="D59" s="4" t="s">
        <v>6</v>
      </c>
      <c r="E59" s="1">
        <v>3</v>
      </c>
      <c r="F59" s="5" t="s">
        <v>4</v>
      </c>
      <c r="G59" s="6"/>
    </row>
    <row r="60" spans="1:7" ht="17.25" thickBot="1">
      <c r="A60">
        <v>7</v>
      </c>
      <c r="B60" s="41" t="s">
        <v>145</v>
      </c>
      <c r="C60" s="42" t="s">
        <v>39</v>
      </c>
      <c r="D60" s="14">
        <v>2</v>
      </c>
      <c r="E60" s="14">
        <v>2</v>
      </c>
      <c r="F60" s="5" t="s">
        <v>4</v>
      </c>
      <c r="G60" s="6"/>
    </row>
    <row r="61" spans="1:7" ht="17.25" thickBot="1">
      <c r="A61">
        <v>8</v>
      </c>
      <c r="B61" s="41" t="s">
        <v>146</v>
      </c>
      <c r="C61" s="42" t="s">
        <v>40</v>
      </c>
      <c r="D61" s="1">
        <v>2</v>
      </c>
      <c r="E61" s="1">
        <v>2</v>
      </c>
      <c r="F61" s="5" t="s">
        <v>4</v>
      </c>
      <c r="G61" s="6"/>
    </row>
    <row r="62" spans="1:7" ht="17.25" thickBot="1">
      <c r="A62">
        <v>9</v>
      </c>
      <c r="B62" s="41" t="s">
        <v>97</v>
      </c>
      <c r="C62" s="42" t="s">
        <v>41</v>
      </c>
      <c r="D62" s="14">
        <v>2</v>
      </c>
      <c r="E62" s="14">
        <v>2</v>
      </c>
      <c r="F62" s="5" t="s">
        <v>4</v>
      </c>
      <c r="G62" s="6"/>
    </row>
    <row r="63" spans="1:7" ht="17.25" thickBot="1">
      <c r="B63" s="79" t="s">
        <v>42</v>
      </c>
      <c r="C63" s="80"/>
      <c r="D63" s="7" t="s">
        <v>78</v>
      </c>
      <c r="E63" s="7">
        <f>SUM(E55:E62)</f>
        <v>19</v>
      </c>
      <c r="F63" s="15"/>
      <c r="G63" s="16"/>
    </row>
    <row r="64" spans="1:7">
      <c r="B64" s="43"/>
      <c r="C64" s="43"/>
    </row>
    <row r="65" spans="1:7" ht="15" thickBot="1">
      <c r="B65" s="43"/>
      <c r="C65" s="43"/>
    </row>
    <row r="66" spans="1:7" ht="17.25" thickBot="1">
      <c r="B66" s="43"/>
      <c r="C66" s="42"/>
    </row>
    <row r="67" spans="1:7" ht="17.25" thickBot="1">
      <c r="A67">
        <v>1</v>
      </c>
      <c r="B67" s="41" t="s">
        <v>147</v>
      </c>
      <c r="C67" s="42" t="s">
        <v>44</v>
      </c>
      <c r="D67" s="4" t="s">
        <v>6</v>
      </c>
      <c r="E67" s="1">
        <v>3</v>
      </c>
      <c r="F67" s="5" t="s">
        <v>4</v>
      </c>
      <c r="G67" s="6"/>
    </row>
    <row r="68" spans="1:7" ht="17.25" thickBot="1">
      <c r="A68">
        <v>2</v>
      </c>
      <c r="B68" s="41" t="s">
        <v>148</v>
      </c>
      <c r="C68" s="42" t="s">
        <v>43</v>
      </c>
      <c r="D68" s="4" t="s">
        <v>81</v>
      </c>
      <c r="E68" s="1">
        <v>3</v>
      </c>
      <c r="F68" s="5" t="s">
        <v>4</v>
      </c>
      <c r="G68" s="6"/>
    </row>
    <row r="69" spans="1:7" ht="17.25" thickBot="1">
      <c r="A69">
        <v>3</v>
      </c>
      <c r="B69" s="41" t="s">
        <v>169</v>
      </c>
      <c r="C69" s="42" t="s">
        <v>45</v>
      </c>
      <c r="D69" s="1">
        <v>2</v>
      </c>
      <c r="E69" s="1">
        <v>2</v>
      </c>
      <c r="F69" s="5" t="s">
        <v>4</v>
      </c>
      <c r="G69" s="6"/>
    </row>
    <row r="70" spans="1:7" ht="17.25" thickBot="1">
      <c r="A70">
        <v>4</v>
      </c>
      <c r="B70" s="41" t="s">
        <v>149</v>
      </c>
      <c r="C70" s="42" t="s">
        <v>46</v>
      </c>
      <c r="D70" s="14">
        <v>2</v>
      </c>
      <c r="E70" s="14">
        <v>2</v>
      </c>
      <c r="F70" s="5" t="s">
        <v>4</v>
      </c>
      <c r="G70" s="6"/>
    </row>
    <row r="71" spans="1:7" ht="17.25" thickBot="1">
      <c r="A71">
        <v>5</v>
      </c>
      <c r="B71" s="41" t="s">
        <v>151</v>
      </c>
      <c r="C71" s="42" t="s">
        <v>47</v>
      </c>
      <c r="D71" s="14">
        <v>2</v>
      </c>
      <c r="E71" s="14">
        <v>2</v>
      </c>
      <c r="F71" s="5" t="s">
        <v>4</v>
      </c>
      <c r="G71" s="6"/>
    </row>
    <row r="72" spans="1:7" ht="17.25" thickBot="1">
      <c r="A72">
        <v>6</v>
      </c>
      <c r="B72" s="41" t="s">
        <v>150</v>
      </c>
      <c r="C72" s="42" t="s">
        <v>48</v>
      </c>
      <c r="D72" s="14">
        <v>1</v>
      </c>
      <c r="E72" s="14">
        <v>1</v>
      </c>
      <c r="F72" s="5" t="s">
        <v>4</v>
      </c>
      <c r="G72" s="6"/>
    </row>
    <row r="73" spans="1:7" ht="17.25" thickBot="1">
      <c r="A73">
        <v>7</v>
      </c>
      <c r="B73" s="41" t="s">
        <v>99</v>
      </c>
      <c r="C73" s="42" t="s">
        <v>53</v>
      </c>
      <c r="D73" s="4" t="s">
        <v>87</v>
      </c>
      <c r="E73" s="1">
        <v>4</v>
      </c>
      <c r="F73" s="5" t="s">
        <v>4</v>
      </c>
    </row>
    <row r="74" spans="1:7" ht="17.25" thickBot="1">
      <c r="A74">
        <v>8</v>
      </c>
      <c r="B74" s="41" t="s">
        <v>109</v>
      </c>
      <c r="C74" s="42" t="s">
        <v>49</v>
      </c>
      <c r="D74" s="36">
        <v>2</v>
      </c>
      <c r="E74" s="36">
        <v>2</v>
      </c>
      <c r="F74" s="34" t="s">
        <v>4</v>
      </c>
      <c r="G74" s="6"/>
    </row>
    <row r="75" spans="1:7" ht="17.25" thickBot="1">
      <c r="A75">
        <v>9</v>
      </c>
      <c r="B75" s="67" t="s">
        <v>152</v>
      </c>
      <c r="C75" s="48" t="s">
        <v>50</v>
      </c>
      <c r="D75" s="22">
        <v>2</v>
      </c>
      <c r="E75" s="22">
        <v>2</v>
      </c>
      <c r="F75" s="13" t="s">
        <v>4</v>
      </c>
      <c r="G75" s="6"/>
    </row>
    <row r="76" spans="1:7" ht="17.25" thickBot="1">
      <c r="A76">
        <v>10</v>
      </c>
      <c r="B76" s="49" t="s">
        <v>170</v>
      </c>
      <c r="C76" s="50" t="s">
        <v>110</v>
      </c>
      <c r="D76" s="39" t="s">
        <v>3</v>
      </c>
      <c r="E76" s="22">
        <v>3</v>
      </c>
      <c r="F76" s="13" t="s">
        <v>4</v>
      </c>
      <c r="G76" s="6"/>
    </row>
    <row r="77" spans="1:7" ht="17.25" thickBot="1">
      <c r="B77" s="79" t="s">
        <v>51</v>
      </c>
      <c r="C77" s="80"/>
      <c r="D77" s="37" t="s">
        <v>111</v>
      </c>
      <c r="E77" s="17">
        <f>SUM(E67:E76)</f>
        <v>24</v>
      </c>
      <c r="F77" s="38"/>
    </row>
    <row r="78" spans="1:7" ht="15" thickBot="1">
      <c r="B78" s="43"/>
      <c r="C78" s="43"/>
    </row>
    <row r="79" spans="1:7" ht="17.25" thickBot="1">
      <c r="B79" s="41" t="s">
        <v>98</v>
      </c>
      <c r="C79" s="42" t="s">
        <v>52</v>
      </c>
      <c r="D79" s="1">
        <v>4</v>
      </c>
      <c r="E79" s="1">
        <v>4</v>
      </c>
      <c r="F79" s="5" t="s">
        <v>4</v>
      </c>
      <c r="G79" s="6"/>
    </row>
    <row r="80" spans="1:7" ht="17.25" thickBot="1">
      <c r="B80" s="46" t="s">
        <v>168</v>
      </c>
      <c r="C80" s="47" t="s">
        <v>79</v>
      </c>
      <c r="D80" s="31">
        <v>2</v>
      </c>
      <c r="E80" s="31">
        <v>2</v>
      </c>
      <c r="F80" s="32" t="s">
        <v>80</v>
      </c>
      <c r="G80" s="6"/>
    </row>
    <row r="81" spans="2:7" ht="17.25" thickBot="1">
      <c r="B81" s="51" t="s">
        <v>100</v>
      </c>
      <c r="C81" s="52" t="s">
        <v>54</v>
      </c>
      <c r="D81" s="19" t="s">
        <v>87</v>
      </c>
      <c r="E81" s="18">
        <v>4</v>
      </c>
      <c r="F81" s="5" t="s">
        <v>4</v>
      </c>
      <c r="G81" s="6"/>
    </row>
    <row r="82" spans="2:7" ht="17.25" thickBot="1">
      <c r="B82" s="53" t="s">
        <v>171</v>
      </c>
      <c r="C82" s="54" t="s">
        <v>55</v>
      </c>
      <c r="D82" s="21">
        <v>2</v>
      </c>
      <c r="E82" s="22">
        <v>2</v>
      </c>
      <c r="F82" s="23" t="s">
        <v>4</v>
      </c>
      <c r="G82" s="6"/>
    </row>
    <row r="83" spans="2:7" ht="17.25" thickBot="1">
      <c r="B83" s="55" t="s">
        <v>101</v>
      </c>
      <c r="C83" s="42" t="s">
        <v>56</v>
      </c>
      <c r="D83" s="14">
        <v>2</v>
      </c>
      <c r="E83" s="14">
        <v>2</v>
      </c>
      <c r="F83" s="5" t="s">
        <v>4</v>
      </c>
      <c r="G83" s="6"/>
    </row>
    <row r="84" spans="2:7" ht="17.25" thickBot="1">
      <c r="B84" s="55" t="s">
        <v>118</v>
      </c>
      <c r="C84" s="56" t="s">
        <v>154</v>
      </c>
      <c r="D84" s="24">
        <v>4</v>
      </c>
      <c r="E84" s="24">
        <v>4</v>
      </c>
      <c r="F84" s="5" t="s">
        <v>4</v>
      </c>
      <c r="G84" s="6"/>
    </row>
    <row r="85" spans="2:7" ht="17.25" thickBot="1">
      <c r="B85" s="79" t="s">
        <v>57</v>
      </c>
      <c r="C85" s="80"/>
      <c r="D85" s="25" t="s">
        <v>172</v>
      </c>
      <c r="E85" s="7">
        <f>SUM(E79:E84)</f>
        <v>18</v>
      </c>
      <c r="F85" s="15"/>
      <c r="G85" s="16"/>
    </row>
    <row r="86" spans="2:7" ht="15" thickBot="1">
      <c r="B86" s="43"/>
      <c r="C86" s="43"/>
    </row>
    <row r="87" spans="2:7" ht="17.25" thickBot="1">
      <c r="B87" s="55" t="s">
        <v>118</v>
      </c>
      <c r="C87" s="56" t="s">
        <v>154</v>
      </c>
      <c r="D87" s="24">
        <v>4</v>
      </c>
      <c r="E87" s="24">
        <v>4</v>
      </c>
      <c r="F87" s="5" t="s">
        <v>4</v>
      </c>
      <c r="G87" s="6"/>
    </row>
    <row r="88" spans="2:7" ht="17.25" thickBot="1">
      <c r="B88" s="55" t="s">
        <v>119</v>
      </c>
      <c r="C88" s="56" t="s">
        <v>58</v>
      </c>
      <c r="D88" s="24">
        <v>6</v>
      </c>
      <c r="E88" s="24">
        <v>6</v>
      </c>
      <c r="F88" s="5" t="s">
        <v>4</v>
      </c>
      <c r="G88" s="6"/>
    </row>
    <row r="89" spans="2:7" ht="17.25" thickBot="1">
      <c r="B89" s="81" t="s">
        <v>59</v>
      </c>
      <c r="C89" s="82"/>
      <c r="D89" s="26">
        <v>6</v>
      </c>
      <c r="E89" s="26">
        <v>6</v>
      </c>
      <c r="F89" s="15"/>
      <c r="G89" s="16"/>
    </row>
    <row r="90" spans="2:7" ht="33.75">
      <c r="B90" s="43"/>
      <c r="C90" s="43"/>
      <c r="E90" s="27">
        <f>E89+E85+E77+E63+E52+E39+E27+E10</f>
        <v>147</v>
      </c>
    </row>
    <row r="91" spans="2:7" ht="15.75" thickBot="1">
      <c r="B91" s="57" t="s">
        <v>60</v>
      </c>
      <c r="C91" s="43"/>
    </row>
    <row r="92" spans="2:7" ht="36.75" thickBot="1">
      <c r="B92" s="58" t="s">
        <v>61</v>
      </c>
      <c r="C92" s="59" t="s">
        <v>62</v>
      </c>
      <c r="D92" s="28" t="s">
        <v>63</v>
      </c>
      <c r="E92" s="28"/>
      <c r="F92" s="64" t="s">
        <v>64</v>
      </c>
      <c r="G92" s="29"/>
    </row>
    <row r="93" spans="2:7" ht="18.75" thickBot="1">
      <c r="B93" s="55" t="s">
        <v>102</v>
      </c>
      <c r="C93" s="60" t="s">
        <v>65</v>
      </c>
      <c r="D93" s="30">
        <v>2</v>
      </c>
      <c r="E93" s="30"/>
      <c r="F93" s="5" t="s">
        <v>4</v>
      </c>
      <c r="G93" s="6"/>
    </row>
    <row r="94" spans="2:7" ht="18.75" thickBot="1">
      <c r="B94" s="55" t="s">
        <v>103</v>
      </c>
      <c r="C94" s="60" t="s">
        <v>66</v>
      </c>
      <c r="D94" s="24">
        <v>2</v>
      </c>
      <c r="E94" s="24"/>
      <c r="F94" s="5" t="s">
        <v>4</v>
      </c>
      <c r="G94" s="6"/>
    </row>
    <row r="95" spans="2:7" ht="19.5" customHeight="1" thickBot="1">
      <c r="B95" s="55" t="s">
        <v>104</v>
      </c>
      <c r="C95" s="60" t="s">
        <v>67</v>
      </c>
      <c r="D95" s="24">
        <v>2</v>
      </c>
      <c r="E95" s="24"/>
      <c r="F95" s="5" t="s">
        <v>4</v>
      </c>
      <c r="G95" s="6"/>
    </row>
    <row r="96" spans="2:7" ht="18.75" thickBot="1">
      <c r="B96" s="55" t="s">
        <v>105</v>
      </c>
      <c r="C96" s="60" t="s">
        <v>68</v>
      </c>
      <c r="D96" s="24">
        <v>2</v>
      </c>
      <c r="E96" s="24"/>
      <c r="F96" s="5" t="s">
        <v>4</v>
      </c>
      <c r="G96" s="6"/>
    </row>
    <row r="97" spans="1:7" ht="18.75" thickBot="1">
      <c r="B97" s="55" t="s">
        <v>106</v>
      </c>
      <c r="C97" s="60" t="s">
        <v>69</v>
      </c>
      <c r="D97" s="24">
        <v>2</v>
      </c>
      <c r="E97" s="24"/>
      <c r="F97" s="5" t="s">
        <v>4</v>
      </c>
      <c r="G97" s="6"/>
    </row>
    <row r="98" spans="1:7" ht="18">
      <c r="B98" s="61" t="s">
        <v>107</v>
      </c>
      <c r="C98" s="62" t="s">
        <v>70</v>
      </c>
      <c r="D98" s="33">
        <v>2</v>
      </c>
      <c r="E98" s="33"/>
      <c r="F98" s="34" t="s">
        <v>4</v>
      </c>
      <c r="G98" s="6"/>
    </row>
    <row r="99" spans="1:7" ht="18">
      <c r="B99" s="53" t="s">
        <v>108</v>
      </c>
      <c r="C99" s="63" t="s">
        <v>88</v>
      </c>
      <c r="D99" s="35">
        <v>2</v>
      </c>
      <c r="E99" s="20"/>
      <c r="F99" s="13" t="s">
        <v>4</v>
      </c>
    </row>
    <row r="104" spans="1:7" ht="16.5">
      <c r="A104" s="68"/>
      <c r="B104" s="69"/>
      <c r="C104" s="70"/>
      <c r="D104" s="71"/>
      <c r="E104" s="71"/>
      <c r="F104" s="72"/>
      <c r="G104" s="68"/>
    </row>
  </sheetData>
  <mergeCells count="11">
    <mergeCell ref="B10:C10"/>
    <mergeCell ref="B27:C27"/>
    <mergeCell ref="B39:C39"/>
    <mergeCell ref="B52:C52"/>
    <mergeCell ref="B63:C63"/>
    <mergeCell ref="F12:F17"/>
    <mergeCell ref="D12:D17"/>
    <mergeCell ref="E12:E17"/>
    <mergeCell ref="B85:C85"/>
    <mergeCell ref="B89:C89"/>
    <mergeCell ref="B77:C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palopo</dc:creator>
  <cp:lastModifiedBy>USER</cp:lastModifiedBy>
  <dcterms:created xsi:type="dcterms:W3CDTF">2026-06-15T07:19:32Z</dcterms:created>
  <dcterms:modified xsi:type="dcterms:W3CDTF">2026-08-21T07:42:46Z</dcterms:modified>
</cp:coreProperties>
</file>